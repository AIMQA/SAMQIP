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 Chart" sheetId="1" state="visible" r:id="rId3"/>
  </sheets>
  <definedNames>
    <definedName function="false" hidden="false" localSheetId="0" name="_xlnm.Print_Area" vbProcedure="false">'Run Chart'!$A$1:$R$50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<sst xmlns="http://schemas.openxmlformats.org/spreadsheetml/2006/main" count="26" uniqueCount="26">
  <si>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Run Chart / SPC Worksheet</t>
  </si>
  <si>
    <t xml:space="preserve">SAM QIP Toolkit  —  drop in your data points; the median, shift signal and control limits calculate themselves.</t>
  </si>
  <si>
    <t xml:space="preserve">Yellow cells are where you type. Everything else — the Measure column, the stats on the right, the chart — calculates automatically.</t>
  </si>
  <si>
    <t xml:space="preserve">Date</t>
  </si>
  <si>
    <t xml:space="preserve">Numerator (n)</t>
  </si>
  <si>
    <t xml:space="preserve">Denominator (N)</t>
  </si>
  <si>
    <t xml:space="preserve">Measure (%)</t>
  </si>
  <si>
    <t xml:space="preserve">Change launched?</t>
  </si>
  <si>
    <t xml:space="preserve">Notes</t>
  </si>
  <si>
    <t xml:space="preserve">Side of median</t>
  </si>
  <si>
    <t xml:space="preserve">Streak</t>
  </si>
  <si>
    <t xml:space="preserve">Signal</t>
  </si>
  <si>
    <t xml:space="preserve">Moving range</t>
  </si>
  <si>
    <t xml:space="preserve">MEDIAN</t>
  </si>
  <si>
    <t xml:space="preserve">Median (chart ref.)</t>
  </si>
  <si>
    <t xml:space="preserve">Date (chart label)</t>
  </si>
  <si>
    <t xml:space="preserve">N</t>
  </si>
  <si>
    <t xml:space="preserve">EXAMPLE — baseline week. Replace or delete this row before entering your own data.</t>
  </si>
  <si>
    <t xml:space="preserve">MEAN</t>
  </si>
  <si>
    <t xml:space="preserve">AVERAGE MOVING RANGE</t>
  </si>
  <si>
    <t xml:space="preserve">UPPER NATURAL PROCESS LIMIT</t>
  </si>
  <si>
    <t xml:space="preserve">LOWER NATURAL PROCESS LIMIT</t>
  </si>
  <si>
    <t xml:space="preserve">A SHIFT is 6+ points in a row on the same side of the median — a real signal, not noise. Watch column J.</t>
  </si>
  <si>
    <t xml:space="preserve">An ASTRONOMICAL POINT is one value clearly detached from the rest — a story to investigate, not a trend.</t>
  </si>
  <si>
    <t xml:space="preserve">Upper/lower limits use the average moving-range method (mean ± 2.66× average MR) — the standard approach for one measure over time. Most first QIPs only need the median and a shift; treat these as optional.</t>
  </si>
  <si>
    <t xml:space="preserve">The chart is pre-built out to row 30. Weeks you haven't reached yet may show as a flat line at the bottom — that's just unfilled rows, not a data problem.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</si>
</sst>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dd/mm/yyyy"/>
    <numFmt numFmtId="167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1B1B"/>
      <name val="Arial"/>
      <family val="0"/>
      <charset val="1"/>
    </font>
    <font>
      <i val="true"/>
      <sz val="10"/>
      <color rgb="FF4A5A52"/>
      <name val="Arial"/>
      <family val="0"/>
      <charset val="1"/>
    </font>
    <font>
      <i val="true"/>
      <sz val="9"/>
      <color rgb="FF4A5A5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36E3A"/>
      <name val="Arial"/>
      <family val="0"/>
      <charset val="1"/>
    </font>
    <font>
      <b val="true"/>
      <sz val="12"/>
      <color rgb="FF1B1B1B"/>
      <name val="Arial"/>
      <family val="0"/>
      <charset val="1"/>
    </font>
    <font>
      <sz val="10"/>
      <color rgb="FF1B1B1B"/>
      <name val="Arial"/>
      <family val="0"/>
      <charset val="1"/>
    </font>
    <font>
      <sz val="9"/>
      <color rgb="FF4A5A52"/>
      <name val="Arial"/>
      <family val="0"/>
      <charset val="1"/>
    </font>
    <font>
      <b val="true"/>
      <sz val="9"/>
      <color rgb="FF036E3A"/>
      <name val="Arial"/>
      <family val="0"/>
      <charset val="1"/>
    </font>
    <font>
      <sz val="11"/>
      <color rgb="FF1B1B1B"/>
      <name val="Arial"/>
      <family val="0"/>
      <charset val="1"/>
    </font>
    <font>
      <sz val="9"/>
      <color rgb="FF1B1B1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36E3A"/>
        <bgColor rgb="FF008080"/>
      </patternFill>
    </fill>
    <fill>
      <patternFill patternType="solid">
        <fgColor rgb="FF4A5A52"/>
        <bgColor rgb="FF333399"/>
      </patternFill>
    </fill>
    <fill>
      <patternFill patternType="solid">
        <fgColor rgb="FFDCEFE3"/>
        <bgColor rgb="FFD4E0D8"/>
      </patternFill>
    </fill>
    <fill>
      <patternFill patternType="solid">
        <fgColor rgb="FFFFF7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E0D8"/>
      </left>
      <right style="thin">
        <color rgb="FFD4E0D8"/>
      </right>
      <top style="thin">
        <color rgb="FFD4E0D8"/>
      </top>
      <bottom style="thin">
        <color rgb="FFD4E0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36E3A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7CC"/>
      <rgbColor rgb="FFD4E0D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F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A52"/>
      <rgbColor rgb="FF8A8A92"/>
      <rgbColor rgb="FF003366"/>
      <rgbColor rgb="FF339966"/>
      <rgbColor rgb="FF003300"/>
      <rgbColor rgb="FF333300"/>
      <rgbColor rgb="FF993300"/>
      <rgbColor rgb="FF993366"/>
      <rgbColor rgb="FF333399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Run chart — measure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'Run Chart'!D6</c:f>
              <c:strCache>
                <c:ptCount val="1"/>
                <c:pt idx="0">
                  <c:v>Measure (%)</c:v>
                </c:pt>
              </c:strCache>
            </c:strRef>
          </c:tx>
          <c:spPr>
            <a:solidFill>
              <a:srgbClr val="036e3a"/>
            </a:solidFill>
            <a:ln w="20160">
              <a:solidFill>
                <a:srgbClr val="036e3a"/>
              </a:solidFill>
              <a:round/>
            </a:ln>
          </c:spPr>
          <c:marker>
            <c:symbol val="circle"/>
            <c:size val="6"/>
            <c:spPr>
              <a:solidFill>
                <a:srgbClr val="036e3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'Run Chart'!$Q$7:$Q$30</c:f>
              <c:strCache>
                <c:ptCount val="24"/>
                <c:pt idx="0">
                  <c:v>04/01/27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'Run Chart'!$D$7:$D$30</c:f>
              <c:numCache>
                <c:formatCode>0.0%</c:formatCode>
                <c:ptCount val="24"/>
                <c:pt idx="0">
                  <c:v>0.6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'Run Chart'!P6</c:f>
              <c:strCache>
                <c:ptCount val="1"/>
                <c:pt idx="0">
                  <c:v>Median (chart ref.)</c:v>
                </c:pt>
              </c:strCache>
            </c:strRef>
          </c:tx>
          <c:spPr>
            <a:solidFill>
              <a:srgbClr val="8a8a92"/>
            </a:solidFill>
            <a:ln w="10080">
              <a:solidFill>
                <a:srgbClr val="8a8a92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'Run Chart'!$Q$7:$Q$30</c:f>
              <c:strCache>
                <c:ptCount val="24"/>
                <c:pt idx="0">
                  <c:v>04/01/27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'Run Chart'!$P$7:$P$30</c:f>
              <c:numCache>
                <c:formatCode>0.0%</c:formatCode>
                <c:ptCount val="24"/>
                <c:pt idx="0">
                  <c:v>0.6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661287"/>
        <c:axId val="90339428"/>
      </c:lineChart>
      <c:catAx>
        <c:axId val="526612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39428"/>
        <c:crosses val="autoZero"/>
        <c:auto val="1"/>
        <c:lblAlgn val="ctr"/>
        <c:lblOffset val="100"/>
        <c:noMultiLvlLbl val="0"/>
      </c:catAx>
      <c:valAx>
        <c:axId val="903394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Measure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612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100800</xdr:rowOff>
    </xdr:from>
    <xdr:to>
      <xdr:col>5</xdr:col>
      <xdr:colOff>2703600</xdr:colOff>
      <xdr:row>47</xdr:row>
      <xdr:rowOff>101880</xdr:rowOff>
    </xdr:to>
    <xdr:graphicFrame>
      <xdr:nvGraphicFramePr>
        <xdr:cNvPr id="0" name="Chart 1"/>
        <xdr:cNvGraphicFramePr/>
      </xdr:nvGraphicFramePr>
      <xdr:xfrm>
        <a:off x="0" y="68198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42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3"/>
    <col collapsed="false" customWidth="true" hidden="false" outlineLevel="0" max="13" min="13" style="0" width="30"/>
    <col collapsed="false" customWidth="true" hidden="false" outlineLevel="0" max="15" min="14" style="0" width="12"/>
    <col collapsed="false" customWidth="true" hidden="false" outlineLevel="0" max="17" min="16" style="0" width="15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6" customFormat="false" ht="27.75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H6" s="5" t="s">
        <v>9</v>
      </c>
      <c r="I6" s="5" t="s">
        <v>10</v>
      </c>
      <c r="J6" s="5" t="s">
        <v>11</v>
      </c>
      <c r="K6" s="5" t="s">
        <v>12</v>
      </c>
      <c r="M6" s="6" t="s">
        <v>13</v>
      </c>
      <c r="N6" s="7" t="n">
        <f aca="false">MEDIAN(D7:D30)</f>
        <v>0.6</v>
      </c>
      <c r="P6" s="5" t="s">
        <v>14</v>
      </c>
      <c r="Q6" s="5" t="s">
        <v>15</v>
      </c>
    </row>
    <row r="7" customFormat="false" ht="27.75" hidden="false" customHeight="true" outlineLevel="0" collapsed="false">
      <c r="A7" s="8" t="n">
        <v>46391</v>
      </c>
      <c r="B7" s="9" t="n">
        <v>12</v>
      </c>
      <c r="C7" s="9" t="n">
        <v>20</v>
      </c>
      <c r="D7" s="10" t="n">
        <f aca="false">IF(C7="","",B7/C7)</f>
        <v>0.6</v>
      </c>
      <c r="E7" s="9" t="s">
        <v>16</v>
      </c>
      <c r="F7" s="11" t="s">
        <v>17</v>
      </c>
      <c r="H7" s="12" t="str">
        <f aca="false">IF(D7="","",IF(D7&gt;$N$6,"A",IF(D7&lt;$N$6,"B","=")))</f>
        <v>=</v>
      </c>
      <c r="I7" s="12" t="n">
        <f aca="false">IF(H7="","",1)</f>
        <v>1</v>
      </c>
      <c r="J7" s="13" t="str">
        <f aca="false">IF(I7="","",IF(I7&gt;=6,"⚑ SHIFT",""))</f>
        <v/>
      </c>
      <c r="K7" s="12"/>
      <c r="M7" s="6" t="s">
        <v>18</v>
      </c>
      <c r="N7" s="14" t="n">
        <f aca="false">AVERAGE(D7:D30)</f>
        <v>0.6</v>
      </c>
      <c r="P7" s="15" t="n">
        <f aca="false">IF(D7="","",$N$6)</f>
        <v>0.6</v>
      </c>
      <c r="Q7" s="12" t="str">
        <f aca="false">IF(A7="","",TEXT(A7,"dd/mm/yy"))</f>
        <v>04/01/27</v>
      </c>
    </row>
    <row r="8" customFormat="false" ht="15" hidden="false" customHeight="false" outlineLevel="0" collapsed="false">
      <c r="A8" s="16"/>
      <c r="B8" s="17"/>
      <c r="C8" s="17"/>
      <c r="D8" s="10" t="str">
        <f aca="false">IF(OR(B8="",C8=""),"",B8/C8)</f>
        <v/>
      </c>
      <c r="E8" s="17"/>
      <c r="F8" s="18"/>
      <c r="H8" s="12" t="str">
        <f aca="false">IF(D8="","",IF(D8&gt;$N$6,"A",IF(D8&lt;$N$6,"B","=")))</f>
        <v/>
      </c>
      <c r="I8" s="12" t="str">
        <f aca="false">IF(H8="","",IF(H8=H7,I7+1,1))</f>
        <v/>
      </c>
      <c r="J8" s="13" t="str">
        <f aca="false">IF(I8="","",IF(I8&gt;=6,"⚑ SHIFT",""))</f>
        <v/>
      </c>
      <c r="K8" s="19" t="str">
        <f aca="false">IF(OR(D8="",D7=""),"",ABS(D8-D7))</f>
        <v/>
      </c>
      <c r="M8" s="6" t="s">
        <v>19</v>
      </c>
      <c r="N8" s="14" t="str">
        <f aca="false">IFERROR(AVERAGE(K7:K30),"")</f>
        <v/>
      </c>
      <c r="P8" s="15" t="str">
        <f aca="false">IF(D8="","",$N$6)</f>
        <v/>
      </c>
      <c r="Q8" s="12" t="str">
        <f aca="false">IF(A8="","",TEXT(A8,"dd/mm/yy"))</f>
        <v/>
      </c>
    </row>
    <row r="9" customFormat="false" ht="15" hidden="false" customHeight="false" outlineLevel="0" collapsed="false">
      <c r="A9" s="16"/>
      <c r="B9" s="17"/>
      <c r="C9" s="17"/>
      <c r="D9" s="10" t="str">
        <f aca="false">IF(OR(B9="",C9=""),"",B9/C9)</f>
        <v/>
      </c>
      <c r="E9" s="17"/>
      <c r="F9" s="18"/>
      <c r="H9" s="12" t="str">
        <f aca="false">IF(D9="","",IF(D9&gt;$N$6,"A",IF(D9&lt;$N$6,"B","=")))</f>
        <v/>
      </c>
      <c r="I9" s="12" t="str">
        <f aca="false">IF(H9="","",IF(H9=H8,I8+1,1))</f>
        <v/>
      </c>
      <c r="J9" s="13" t="str">
        <f aca="false">IF(I9="","",IF(I9&gt;=6,"⚑ SHIFT",""))</f>
        <v/>
      </c>
      <c r="K9" s="19" t="str">
        <f aca="false">IF(OR(D9="",D8=""),"",ABS(D9-D8))</f>
        <v/>
      </c>
      <c r="M9" s="6" t="s">
        <v>20</v>
      </c>
      <c r="N9" s="14" t="str">
        <f aca="false">IFERROR(N7+(2.66*N8),"")</f>
        <v/>
      </c>
      <c r="P9" s="15" t="str">
        <f aca="false">IF(D9="","",$N$6)</f>
        <v/>
      </c>
      <c r="Q9" s="12" t="str">
        <f aca="false">IF(A9="","",TEXT(A9,"dd/mm/yy"))</f>
        <v/>
      </c>
    </row>
    <row r="10" customFormat="false" ht="15" hidden="false" customHeight="false" outlineLevel="0" collapsed="false">
      <c r="A10" s="16"/>
      <c r="B10" s="17"/>
      <c r="C10" s="17"/>
      <c r="D10" s="10" t="str">
        <f aca="false">IF(OR(B10="",C10=""),"",B10/C10)</f>
        <v/>
      </c>
      <c r="E10" s="17"/>
      <c r="F10" s="18"/>
      <c r="H10" s="12" t="str">
        <f aca="false">IF(D10="","",IF(D10&gt;$N$6,"A",IF(D10&lt;$N$6,"B","=")))</f>
        <v/>
      </c>
      <c r="I10" s="12" t="str">
        <f aca="false">IF(H10="","",IF(H10=H9,I9+1,1))</f>
        <v/>
      </c>
      <c r="J10" s="13" t="str">
        <f aca="false">IF(I10="","",IF(I10&gt;=6,"⚑ SHIFT",""))</f>
        <v/>
      </c>
      <c r="K10" s="19" t="str">
        <f aca="false">IF(OR(D10="",D9=""),"",ABS(D10-D9))</f>
        <v/>
      </c>
      <c r="M10" s="6" t="s">
        <v>21</v>
      </c>
      <c r="N10" s="14" t="str">
        <f aca="false">IFERROR(MAX(0,N7-(2.66*N8)),"")</f>
        <v/>
      </c>
      <c r="P10" s="15" t="str">
        <f aca="false">IF(D10="","",$N$6)</f>
        <v/>
      </c>
      <c r="Q10" s="12" t="str">
        <f aca="false">IF(A10="","",TEXT(A10,"dd/mm/yy"))</f>
        <v/>
      </c>
    </row>
    <row r="11" customFormat="false" ht="15" hidden="false" customHeight="false" outlineLevel="0" collapsed="false">
      <c r="A11" s="16"/>
      <c r="B11" s="17"/>
      <c r="C11" s="17"/>
      <c r="D11" s="10" t="str">
        <f aca="false">IF(OR(B11="",C11=""),"",B11/C11)</f>
        <v/>
      </c>
      <c r="E11" s="17"/>
      <c r="F11" s="18"/>
      <c r="H11" s="12" t="str">
        <f aca="false">IF(D11="","",IF(D11&gt;$N$6,"A",IF(D11&lt;$N$6,"B","=")))</f>
        <v/>
      </c>
      <c r="I11" s="12" t="str">
        <f aca="false">IF(H11="","",IF(H11=H10,I10+1,1))</f>
        <v/>
      </c>
      <c r="J11" s="13" t="str">
        <f aca="false">IF(I11="","",IF(I11&gt;=6,"⚑ SHIFT",""))</f>
        <v/>
      </c>
      <c r="K11" s="19" t="str">
        <f aca="false">IF(OR(D11="",D10=""),"",ABS(D11-D10))</f>
        <v/>
      </c>
      <c r="P11" s="15" t="str">
        <f aca="false">IF(D11="","",$N$6)</f>
        <v/>
      </c>
      <c r="Q11" s="12" t="str">
        <f aca="false">IF(A11="","",TEXT(A11,"dd/mm/yy"))</f>
        <v/>
      </c>
    </row>
    <row r="12" customFormat="false" ht="25.5" hidden="false" customHeight="true" outlineLevel="0" collapsed="false">
      <c r="A12" s="16"/>
      <c r="B12" s="17"/>
      <c r="C12" s="17"/>
      <c r="D12" s="10" t="str">
        <f aca="false">IF(OR(B12="",C12=""),"",B12/C12)</f>
        <v/>
      </c>
      <c r="E12" s="17"/>
      <c r="F12" s="18"/>
      <c r="H12" s="12" t="str">
        <f aca="false">IF(D12="","",IF(D12&gt;$N$6,"A",IF(D12&lt;$N$6,"B","=")))</f>
        <v/>
      </c>
      <c r="I12" s="12" t="str">
        <f aca="false">IF(H12="","",IF(H12=H11,I11+1,1))</f>
        <v/>
      </c>
      <c r="J12" s="13" t="str">
        <f aca="false">IF(I12="","",IF(I12&gt;=6,"⚑ SHIFT",""))</f>
        <v/>
      </c>
      <c r="K12" s="19" t="str">
        <f aca="false">IF(OR(D12="",D11=""),"",ABS(D12-D11))</f>
        <v/>
      </c>
      <c r="M12" s="20" t="s">
        <v>22</v>
      </c>
      <c r="N12" s="20"/>
      <c r="O12" s="20"/>
      <c r="P12" s="15" t="str">
        <f aca="false">IF(D12="","",$N$6)</f>
        <v/>
      </c>
      <c r="Q12" s="12" t="str">
        <f aca="false">IF(A12="","",TEXT(A12,"dd/mm/yy"))</f>
        <v/>
      </c>
    </row>
    <row r="13" customFormat="false" ht="15" hidden="false" customHeight="false" outlineLevel="0" collapsed="false">
      <c r="A13" s="16"/>
      <c r="B13" s="17"/>
      <c r="C13" s="17"/>
      <c r="D13" s="10" t="str">
        <f aca="false">IF(OR(B13="",C13=""),"",B13/C13)</f>
        <v/>
      </c>
      <c r="E13" s="17"/>
      <c r="F13" s="18"/>
      <c r="H13" s="12" t="str">
        <f aca="false">IF(D13="","",IF(D13&gt;$N$6,"A",IF(D13&lt;$N$6,"B","=")))</f>
        <v/>
      </c>
      <c r="I13" s="12" t="str">
        <f aca="false">IF(H13="","",IF(H13=H12,I12+1,1))</f>
        <v/>
      </c>
      <c r="J13" s="13" t="str">
        <f aca="false">IF(I13="","",IF(I13&gt;=6,"⚑ SHIFT",""))</f>
        <v/>
      </c>
      <c r="K13" s="19" t="str">
        <f aca="false">IF(OR(D13="",D12=""),"",ABS(D13-D12))</f>
        <v/>
      </c>
      <c r="P13" s="15" t="str">
        <f aca="false">IF(D13="","",$N$6)</f>
        <v/>
      </c>
      <c r="Q13" s="12" t="str">
        <f aca="false">IF(A13="","",TEXT(A13,"dd/mm/yy"))</f>
        <v/>
      </c>
    </row>
    <row r="14" customFormat="false" ht="19.5" hidden="false" customHeight="true" outlineLevel="0" collapsed="false">
      <c r="A14" s="16"/>
      <c r="B14" s="17"/>
      <c r="C14" s="17"/>
      <c r="D14" s="10" t="str">
        <f aca="false">IF(OR(B14="",C14=""),"",B14/C14)</f>
        <v/>
      </c>
      <c r="E14" s="17"/>
      <c r="F14" s="18"/>
      <c r="H14" s="12" t="str">
        <f aca="false">IF(D14="","",IF(D14&gt;$N$6,"A",IF(D14&lt;$N$6,"B","=")))</f>
        <v/>
      </c>
      <c r="I14" s="12" t="str">
        <f aca="false">IF(H14="","",IF(H14=H13,I13+1,1))</f>
        <v/>
      </c>
      <c r="J14" s="13" t="str">
        <f aca="false">IF(I14="","",IF(I14&gt;=6,"⚑ SHIFT",""))</f>
        <v/>
      </c>
      <c r="K14" s="19" t="str">
        <f aca="false">IF(OR(D14="",D13=""),"",ABS(D14-D13))</f>
        <v/>
      </c>
      <c r="M14" s="20" t="s">
        <v>23</v>
      </c>
      <c r="N14" s="20"/>
      <c r="O14" s="20"/>
      <c r="P14" s="15" t="str">
        <f aca="false">IF(D14="","",$N$6)</f>
        <v/>
      </c>
      <c r="Q14" s="12" t="str">
        <f aca="false">IF(A14="","",TEXT(A14,"dd/mm/yy"))</f>
        <v/>
      </c>
    </row>
    <row r="15" customFormat="false" ht="19.5" hidden="false" customHeight="true" outlineLevel="0" collapsed="false">
      <c r="A15" s="16"/>
      <c r="B15" s="17"/>
      <c r="C15" s="17"/>
      <c r="D15" s="10" t="str">
        <f aca="false">IF(OR(B15="",C15=""),"",B15/C15)</f>
        <v/>
      </c>
      <c r="E15" s="17"/>
      <c r="F15" s="18"/>
      <c r="H15" s="12" t="str">
        <f aca="false">IF(D15="","",IF(D15&gt;$N$6,"A",IF(D15&lt;$N$6,"B","=")))</f>
        <v/>
      </c>
      <c r="I15" s="12" t="str">
        <f aca="false">IF(H15="","",IF(H15=H14,I14+1,1))</f>
        <v/>
      </c>
      <c r="J15" s="13" t="str">
        <f aca="false">IF(I15="","",IF(I15&gt;=6,"⚑ SHIFT",""))</f>
        <v/>
      </c>
      <c r="K15" s="19" t="str">
        <f aca="false">IF(OR(D15="",D14=""),"",ABS(D15-D14))</f>
        <v/>
      </c>
      <c r="M15" s="20"/>
      <c r="N15" s="20"/>
      <c r="O15" s="20"/>
      <c r="P15" s="15" t="str">
        <f aca="false">IF(D15="","",$N$6)</f>
        <v/>
      </c>
      <c r="Q15" s="12" t="str">
        <f aca="false">IF(A15="","",TEXT(A15,"dd/mm/yy"))</f>
        <v/>
      </c>
    </row>
    <row r="16" customFormat="false" ht="15" hidden="false" customHeight="false" outlineLevel="0" collapsed="false">
      <c r="A16" s="16"/>
      <c r="B16" s="17"/>
      <c r="C16" s="17"/>
      <c r="D16" s="10" t="str">
        <f aca="false">IF(OR(B16="",C16=""),"",B16/C16)</f>
        <v/>
      </c>
      <c r="E16" s="17"/>
      <c r="F16" s="18"/>
      <c r="H16" s="12" t="str">
        <f aca="false">IF(D16="","",IF(D16&gt;$N$6,"A",IF(D16&lt;$N$6,"B","=")))</f>
        <v/>
      </c>
      <c r="I16" s="12" t="str">
        <f aca="false">IF(H16="","",IF(H16=H15,I15+1,1))</f>
        <v/>
      </c>
      <c r="J16" s="13" t="str">
        <f aca="false">IF(I16="","",IF(I16&gt;=6,"⚑ SHIFT",""))</f>
        <v/>
      </c>
      <c r="K16" s="19" t="str">
        <f aca="false">IF(OR(D16="",D15=""),"",ABS(D16-D15))</f>
        <v/>
      </c>
      <c r="P16" s="15" t="str">
        <f aca="false">IF(D16="","",$N$6)</f>
        <v/>
      </c>
      <c r="Q16" s="12" t="str">
        <f aca="false">IF(A16="","",TEXT(A16,"dd/mm/yy"))</f>
        <v/>
      </c>
    </row>
    <row r="17" customFormat="false" ht="19.5" hidden="false" customHeight="true" outlineLevel="0" collapsed="false">
      <c r="A17" s="16"/>
      <c r="B17" s="17"/>
      <c r="C17" s="17"/>
      <c r="D17" s="10" t="str">
        <f aca="false">IF(OR(B17="",C17=""),"",B17/C17)</f>
        <v/>
      </c>
      <c r="E17" s="17"/>
      <c r="F17" s="18"/>
      <c r="H17" s="12" t="str">
        <f aca="false">IF(D17="","",IF(D17&gt;$N$6,"A",IF(D17&lt;$N$6,"B","=")))</f>
        <v/>
      </c>
      <c r="I17" s="12" t="str">
        <f aca="false">IF(H17="","",IF(H17=H16,I16+1,1))</f>
        <v/>
      </c>
      <c r="J17" s="13" t="str">
        <f aca="false">IF(I17="","",IF(I17&gt;=6,"⚑ SHIFT",""))</f>
        <v/>
      </c>
      <c r="K17" s="19" t="str">
        <f aca="false">IF(OR(D17="",D16=""),"",ABS(D17-D16))</f>
        <v/>
      </c>
      <c r="M17" s="20" t="s">
        <v>24</v>
      </c>
      <c r="N17" s="20"/>
      <c r="O17" s="20"/>
      <c r="P17" s="15" t="str">
        <f aca="false">IF(D17="","",$N$6)</f>
        <v/>
      </c>
      <c r="Q17" s="12" t="str">
        <f aca="false">IF(A17="","",TEXT(A17,"dd/mm/yy"))</f>
        <v/>
      </c>
    </row>
    <row r="18" customFormat="false" ht="19.5" hidden="false" customHeight="true" outlineLevel="0" collapsed="false">
      <c r="A18" s="16"/>
      <c r="B18" s="17"/>
      <c r="C18" s="17"/>
      <c r="D18" s="10" t="str">
        <f aca="false">IF(OR(B18="",C18=""),"",B18/C18)</f>
        <v/>
      </c>
      <c r="E18" s="17"/>
      <c r="F18" s="18"/>
      <c r="H18" s="12" t="str">
        <f aca="false">IF(D18="","",IF(D18&gt;$N$6,"A",IF(D18&lt;$N$6,"B","=")))</f>
        <v/>
      </c>
      <c r="I18" s="12" t="str">
        <f aca="false">IF(H18="","",IF(H18=H17,I17+1,1))</f>
        <v/>
      </c>
      <c r="J18" s="13" t="str">
        <f aca="false">IF(I18="","",IF(I18&gt;=6,"⚑ SHIFT",""))</f>
        <v/>
      </c>
      <c r="K18" s="19" t="str">
        <f aca="false">IF(OR(D18="",D17=""),"",ABS(D18-D17))</f>
        <v/>
      </c>
      <c r="M18" s="20"/>
      <c r="N18" s="20"/>
      <c r="O18" s="20"/>
      <c r="P18" s="15" t="str">
        <f aca="false">IF(D18="","",$N$6)</f>
        <v/>
      </c>
      <c r="Q18" s="12" t="str">
        <f aca="false">IF(A18="","",TEXT(A18,"dd/mm/yy"))</f>
        <v/>
      </c>
    </row>
    <row r="19" customFormat="false" ht="19.5" hidden="false" customHeight="true" outlineLevel="0" collapsed="false">
      <c r="A19" s="16"/>
      <c r="B19" s="17"/>
      <c r="C19" s="17"/>
      <c r="D19" s="10" t="str">
        <f aca="false">IF(OR(B19="",C19=""),"",B19/C19)</f>
        <v/>
      </c>
      <c r="E19" s="17"/>
      <c r="F19" s="18"/>
      <c r="H19" s="12" t="str">
        <f aca="false">IF(D19="","",IF(D19&gt;$N$6,"A",IF(D19&lt;$N$6,"B","=")))</f>
        <v/>
      </c>
      <c r="I19" s="12" t="str">
        <f aca="false">IF(H19="","",IF(H19=H18,I18+1,1))</f>
        <v/>
      </c>
      <c r="J19" s="13" t="str">
        <f aca="false">IF(I19="","",IF(I19&gt;=6,"⚑ SHIFT",""))</f>
        <v/>
      </c>
      <c r="K19" s="19" t="str">
        <f aca="false">IF(OR(D19="",D18=""),"",ABS(D19-D18))</f>
        <v/>
      </c>
      <c r="M19" s="20"/>
      <c r="N19" s="20"/>
      <c r="O19" s="20"/>
      <c r="P19" s="15" t="str">
        <f aca="false">IF(D19="","",$N$6)</f>
        <v/>
      </c>
      <c r="Q19" s="12" t="str">
        <f aca="false">IF(A19="","",TEXT(A19,"dd/mm/yy"))</f>
        <v/>
      </c>
    </row>
    <row r="20" customFormat="false" ht="15" hidden="false" customHeight="false" outlineLevel="0" collapsed="false">
      <c r="A20" s="16"/>
      <c r="B20" s="17"/>
      <c r="C20" s="17"/>
      <c r="D20" s="10" t="str">
        <f aca="false">IF(OR(B20="",C20=""),"",B20/C20)</f>
        <v/>
      </c>
      <c r="E20" s="17"/>
      <c r="F20" s="18"/>
      <c r="H20" s="12" t="str">
        <f aca="false">IF(D20="","",IF(D20&gt;$N$6,"A",IF(D20&lt;$N$6,"B","=")))</f>
        <v/>
      </c>
      <c r="I20" s="12" t="str">
        <f aca="false">IF(H20="","",IF(H20=H19,I19+1,1))</f>
        <v/>
      </c>
      <c r="J20" s="13" t="str">
        <f aca="false">IF(I20="","",IF(I20&gt;=6,"⚑ SHIFT",""))</f>
        <v/>
      </c>
      <c r="K20" s="19" t="str">
        <f aca="false">IF(OR(D20="",D19=""),"",ABS(D20-D19))</f>
        <v/>
      </c>
      <c r="P20" s="15" t="str">
        <f aca="false">IF(D20="","",$N$6)</f>
        <v/>
      </c>
      <c r="Q20" s="12" t="str">
        <f aca="false">IF(A20="","",TEXT(A20,"dd/mm/yy"))</f>
        <v/>
      </c>
    </row>
    <row r="21" customFormat="false" ht="19.5" hidden="false" customHeight="true" outlineLevel="0" collapsed="false">
      <c r="A21" s="16"/>
      <c r="B21" s="17"/>
      <c r="C21" s="17"/>
      <c r="D21" s="10" t="str">
        <f aca="false">IF(OR(B21="",C21=""),"",B21/C21)</f>
        <v/>
      </c>
      <c r="E21" s="17"/>
      <c r="F21" s="18"/>
      <c r="H21" s="12" t="str">
        <f aca="false">IF(D21="","",IF(D21&gt;$N$6,"A",IF(D21&lt;$N$6,"B","=")))</f>
        <v/>
      </c>
      <c r="I21" s="12" t="str">
        <f aca="false">IF(H21="","",IF(H21=H20,I20+1,1))</f>
        <v/>
      </c>
      <c r="J21" s="13" t="str">
        <f aca="false">IF(I21="","",IF(I21&gt;=6,"⚑ SHIFT",""))</f>
        <v/>
      </c>
      <c r="K21" s="19" t="str">
        <f aca="false">IF(OR(D21="",D20=""),"",ABS(D21-D20))</f>
        <v/>
      </c>
      <c r="M21" s="20" t="s">
        <v>25</v>
      </c>
      <c r="N21" s="20"/>
      <c r="O21" s="20"/>
      <c r="P21" s="15" t="str">
        <f aca="false">IF(D21="","",$N$6)</f>
        <v/>
      </c>
      <c r="Q21" s="12" t="str">
        <f aca="false">IF(A21="","",TEXT(A21,"dd/mm/yy"))</f>
        <v/>
      </c>
    </row>
    <row r="22" customFormat="false" ht="19.5" hidden="false" customHeight="true" outlineLevel="0" collapsed="false">
      <c r="A22" s="16"/>
      <c r="B22" s="17"/>
      <c r="C22" s="17"/>
      <c r="D22" s="10" t="str">
        <f aca="false">IF(OR(B22="",C22=""),"",B22/C22)</f>
        <v/>
      </c>
      <c r="E22" s="17"/>
      <c r="F22" s="18"/>
      <c r="H22" s="12" t="str">
        <f aca="false">IF(D22="","",IF(D22&gt;$N$6,"A",IF(D22&lt;$N$6,"B","=")))</f>
        <v/>
      </c>
      <c r="I22" s="12" t="str">
        <f aca="false">IF(H22="","",IF(H22=H21,I21+1,1))</f>
        <v/>
      </c>
      <c r="J22" s="13" t="str">
        <f aca="false">IF(I22="","",IF(I22&gt;=6,"⚑ SHIFT",""))</f>
        <v/>
      </c>
      <c r="K22" s="19" t="str">
        <f aca="false">IF(OR(D22="",D21=""),"",ABS(D22-D21))</f>
        <v/>
      </c>
      <c r="M22" s="20"/>
      <c r="N22" s="20"/>
      <c r="O22" s="20"/>
      <c r="P22" s="15" t="str">
        <f aca="false">IF(D22="","",$N$6)</f>
        <v/>
      </c>
      <c r="Q22" s="12" t="str">
        <f aca="false">IF(A22="","",TEXT(A22,"dd/mm/yy"))</f>
        <v/>
      </c>
    </row>
    <row r="23" customFormat="false" ht="19.5" hidden="false" customHeight="true" outlineLevel="0" collapsed="false">
      <c r="A23" s="16"/>
      <c r="B23" s="17"/>
      <c r="C23" s="17"/>
      <c r="D23" s="10" t="str">
        <f aca="false">IF(OR(B23="",C23=""),"",B23/C23)</f>
        <v/>
      </c>
      <c r="E23" s="17"/>
      <c r="F23" s="18"/>
      <c r="H23" s="12" t="str">
        <f aca="false">IF(D23="","",IF(D23&gt;$N$6,"A",IF(D23&lt;$N$6,"B","=")))</f>
        <v/>
      </c>
      <c r="I23" s="12" t="str">
        <f aca="false">IF(H23="","",IF(H23=H22,I22+1,1))</f>
        <v/>
      </c>
      <c r="J23" s="13" t="str">
        <f aca="false">IF(I23="","",IF(I23&gt;=6,"⚑ SHIFT",""))</f>
        <v/>
      </c>
      <c r="K23" s="19" t="str">
        <f aca="false">IF(OR(D23="",D22=""),"",ABS(D23-D22))</f>
        <v/>
      </c>
      <c r="M23" s="20"/>
      <c r="N23" s="20"/>
      <c r="O23" s="20"/>
      <c r="P23" s="15" t="str">
        <f aca="false">IF(D23="","",$N$6)</f>
        <v/>
      </c>
      <c r="Q23" s="12" t="str">
        <f aca="false">IF(A23="","",TEXT(A23,"dd/mm/yy"))</f>
        <v/>
      </c>
    </row>
    <row r="24" customFormat="false" ht="15" hidden="false" customHeight="false" outlineLevel="0" collapsed="false">
      <c r="A24" s="16"/>
      <c r="B24" s="17"/>
      <c r="C24" s="17"/>
      <c r="D24" s="10" t="str">
        <f aca="false">IF(OR(B24="",C24=""),"",B24/C24)</f>
        <v/>
      </c>
      <c r="E24" s="17"/>
      <c r="F24" s="18"/>
      <c r="H24" s="12" t="str">
        <f aca="false">IF(D24="","",IF(D24&gt;$N$6,"A",IF(D24&lt;$N$6,"B","=")))</f>
        <v/>
      </c>
      <c r="I24" s="12" t="str">
        <f aca="false">IF(H24="","",IF(H24=H23,I23+1,1))</f>
        <v/>
      </c>
      <c r="J24" s="13" t="str">
        <f aca="false">IF(I24="","",IF(I24&gt;=6,"⚑ SHIFT",""))</f>
        <v/>
      </c>
      <c r="K24" s="19" t="str">
        <f aca="false">IF(OR(D24="",D23=""),"",ABS(D24-D23))</f>
        <v/>
      </c>
      <c r="P24" s="15" t="str">
        <f aca="false">IF(D24="","",$N$6)</f>
        <v/>
      </c>
      <c r="Q24" s="12" t="str">
        <f aca="false">IF(A24="","",TEXT(A24,"dd/mm/yy"))</f>
        <v/>
      </c>
    </row>
    <row r="25" customFormat="false" ht="15" hidden="false" customHeight="false" outlineLevel="0" collapsed="false">
      <c r="A25" s="16"/>
      <c r="B25" s="17"/>
      <c r="C25" s="17"/>
      <c r="D25" s="10" t="str">
        <f aca="false">IF(OR(B25="",C25=""),"",B25/C25)</f>
        <v/>
      </c>
      <c r="E25" s="17"/>
      <c r="F25" s="18"/>
      <c r="H25" s="12" t="str">
        <f aca="false">IF(D25="","",IF(D25&gt;$N$6,"A",IF(D25&lt;$N$6,"B","=")))</f>
        <v/>
      </c>
      <c r="I25" s="12" t="str">
        <f aca="false">IF(H25="","",IF(H25=H24,I24+1,1))</f>
        <v/>
      </c>
      <c r="J25" s="13" t="str">
        <f aca="false">IF(I25="","",IF(I25&gt;=6,"⚑ SHIFT",""))</f>
        <v/>
      </c>
      <c r="K25" s="19" t="str">
        <f aca="false">IF(OR(D25="",D24=""),"",ABS(D25-D24))</f>
        <v/>
      </c>
      <c r="P25" s="15" t="str">
        <f aca="false">IF(D25="","",$N$6)</f>
        <v/>
      </c>
      <c r="Q25" s="12" t="str">
        <f aca="false">IF(A25="","",TEXT(A25,"dd/mm/yy"))</f>
        <v/>
      </c>
    </row>
    <row r="26" customFormat="false" ht="15" hidden="false" customHeight="false" outlineLevel="0" collapsed="false">
      <c r="A26" s="16"/>
      <c r="B26" s="17"/>
      <c r="C26" s="17"/>
      <c r="D26" s="10" t="str">
        <f aca="false">IF(OR(B26="",C26=""),"",B26/C26)</f>
        <v/>
      </c>
      <c r="E26" s="17"/>
      <c r="F26" s="18"/>
      <c r="H26" s="12" t="str">
        <f aca="false">IF(D26="","",IF(D26&gt;$N$6,"A",IF(D26&lt;$N$6,"B","=")))</f>
        <v/>
      </c>
      <c r="I26" s="12" t="str">
        <f aca="false">IF(H26="","",IF(H26=H25,I25+1,1))</f>
        <v/>
      </c>
      <c r="J26" s="13" t="str">
        <f aca="false">IF(I26="","",IF(I26&gt;=6,"⚑ SHIFT",""))</f>
        <v/>
      </c>
      <c r="K26" s="19" t="str">
        <f aca="false">IF(OR(D26="",D25=""),"",ABS(D26-D25))</f>
        <v/>
      </c>
      <c r="P26" s="15" t="str">
        <f aca="false">IF(D26="","",$N$6)</f>
        <v/>
      </c>
      <c r="Q26" s="12" t="str">
        <f aca="false">IF(A26="","",TEXT(A26,"dd/mm/yy"))</f>
        <v/>
      </c>
    </row>
    <row r="27" customFormat="false" ht="15" hidden="false" customHeight="false" outlineLevel="0" collapsed="false">
      <c r="A27" s="16"/>
      <c r="B27" s="17"/>
      <c r="C27" s="17"/>
      <c r="D27" s="10" t="str">
        <f aca="false">IF(OR(B27="",C27=""),"",B27/C27)</f>
        <v/>
      </c>
      <c r="E27" s="17"/>
      <c r="F27" s="18"/>
      <c r="H27" s="12" t="str">
        <f aca="false">IF(D27="","",IF(D27&gt;$N$6,"A",IF(D27&lt;$N$6,"B","=")))</f>
        <v/>
      </c>
      <c r="I27" s="12" t="str">
        <f aca="false">IF(H27="","",IF(H27=H26,I26+1,1))</f>
        <v/>
      </c>
      <c r="J27" s="13" t="str">
        <f aca="false">IF(I27="","",IF(I27&gt;=6,"⚑ SHIFT",""))</f>
        <v/>
      </c>
      <c r="K27" s="19" t="str">
        <f aca="false">IF(OR(D27="",D26=""),"",ABS(D27-D26))</f>
        <v/>
      </c>
      <c r="P27" s="15" t="str">
        <f aca="false">IF(D27="","",$N$6)</f>
        <v/>
      </c>
      <c r="Q27" s="12" t="str">
        <f aca="false">IF(A27="","",TEXT(A27,"dd/mm/yy"))</f>
        <v/>
      </c>
    </row>
    <row r="28" customFormat="false" ht="15" hidden="false" customHeight="false" outlineLevel="0" collapsed="false">
      <c r="A28" s="16"/>
      <c r="B28" s="17"/>
      <c r="C28" s="17"/>
      <c r="D28" s="10" t="str">
        <f aca="false">IF(OR(B28="",C28=""),"",B28/C28)</f>
        <v/>
      </c>
      <c r="E28" s="17"/>
      <c r="F28" s="18"/>
      <c r="H28" s="12" t="str">
        <f aca="false">IF(D28="","",IF(D28&gt;$N$6,"A",IF(D28&lt;$N$6,"B","=")))</f>
        <v/>
      </c>
      <c r="I28" s="12" t="str">
        <f aca="false">IF(H28="","",IF(H28=H27,I27+1,1))</f>
        <v/>
      </c>
      <c r="J28" s="13" t="str">
        <f aca="false">IF(I28="","",IF(I28&gt;=6,"⚑ SHIFT",""))</f>
        <v/>
      </c>
      <c r="K28" s="19" t="str">
        <f aca="false">IF(OR(D28="",D27=""),"",ABS(D28-D27))</f>
        <v/>
      </c>
      <c r="P28" s="15" t="str">
        <f aca="false">IF(D28="","",$N$6)</f>
        <v/>
      </c>
      <c r="Q28" s="12" t="str">
        <f aca="false">IF(A28="","",TEXT(A28,"dd/mm/yy"))</f>
        <v/>
      </c>
    </row>
    <row r="29" customFormat="false" ht="15" hidden="false" customHeight="false" outlineLevel="0" collapsed="false">
      <c r="A29" s="16"/>
      <c r="B29" s="17"/>
      <c r="C29" s="17"/>
      <c r="D29" s="10" t="str">
        <f aca="false">IF(OR(B29="",C29=""),"",B29/C29)</f>
        <v/>
      </c>
      <c r="E29" s="17"/>
      <c r="F29" s="18"/>
      <c r="H29" s="12" t="str">
        <f aca="false">IF(D29="","",IF(D29&gt;$N$6,"A",IF(D29&lt;$N$6,"B","=")))</f>
        <v/>
      </c>
      <c r="I29" s="12" t="str">
        <f aca="false">IF(H29="","",IF(H29=H28,I28+1,1))</f>
        <v/>
      </c>
      <c r="J29" s="13" t="str">
        <f aca="false">IF(I29="","",IF(I29&gt;=6,"⚑ SHIFT",""))</f>
        <v/>
      </c>
      <c r="K29" s="19" t="str">
        <f aca="false">IF(OR(D29="",D28=""),"",ABS(D29-D28))</f>
        <v/>
      </c>
      <c r="P29" s="15" t="str">
        <f aca="false">IF(D29="","",$N$6)</f>
        <v/>
      </c>
      <c r="Q29" s="12" t="str">
        <f aca="false">IF(A29="","",TEXT(A29,"dd/mm/yy"))</f>
        <v/>
      </c>
    </row>
    <row r="30" customFormat="false" ht="15" hidden="false" customHeight="false" outlineLevel="0" collapsed="false">
      <c r="A30" s="16"/>
      <c r="B30" s="17"/>
      <c r="C30" s="17"/>
      <c r="D30" s="10" t="str">
        <f aca="false">IF(OR(B30="",C30=""),"",B30/C30)</f>
        <v/>
      </c>
      <c r="E30" s="17"/>
      <c r="F30" s="18"/>
      <c r="H30" s="12" t="str">
        <f aca="false">IF(D30="","",IF(D30&gt;$N$6,"A",IF(D30&lt;$N$6,"B","=")))</f>
        <v/>
      </c>
      <c r="I30" s="12" t="str">
        <f aca="false">IF(H30="","",IF(H30=H29,I29+1,1))</f>
        <v/>
      </c>
      <c r="J30" s="13" t="str">
        <f aca="false">IF(I30="","",IF(I30&gt;=6,"⚑ SHIFT",""))</f>
        <v/>
      </c>
      <c r="K30" s="19" t="str">
        <f aca="false">IF(OR(D30="",D29=""),"",ABS(D30-D29))</f>
        <v/>
      </c>
      <c r="P30" s="15" t="str">
        <f aca="false">IF(D30="","",$N$6)</f>
        <v/>
      </c>
      <c r="Q30" s="12" t="str">
        <f aca="false">IF(A30="","",TEXT(A30,"dd/mm/yy"))</f>
        <v/>
      </c>
    </row>
  </sheetData>
  <mergeCells count="7">
    <mergeCell ref="A1:F1"/>
    <mergeCell ref="A2:F2"/>
    <mergeCell ref="A4:F4"/>
    <mergeCell ref="M12:O12"/>
    <mergeCell ref="M14:O15"/>
    <mergeCell ref="M17:O19"/>
    <mergeCell ref="M21:O23"/>
  </mergeCells>
  <dataValidations count="1">
    <dataValidation allowBlank="true" errorStyle="stop" operator="between" showDropDown="false" showErrorMessage="false" showInputMessage="false" sqref="E8:E30" type="list">
      <formula1>"Y,N"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2026-09-02T11:11:02Z</dcterms:created>
  <dc:creator>openpyxl</dc:creator>
  <dc:description/>
  <dc:language>en-US</dc:language>
  <cp:lastModifiedBy/>
  <dcterms:modified xsi:type="dcterms:W3CDTF">2026-09-02T11:11:04Z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